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079d44121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KPIs" sheetId="1" r:id="R5266230dbed44027"/>
    <x:sheet xmlns:r="http://schemas.openxmlformats.org/officeDocument/2006/relationships" name="Segments" sheetId="2" r:id="Rafa87116ab634243"/>
    <x:sheet xmlns:r="http://schemas.openxmlformats.org/officeDocument/2006/relationships" name="Weights" sheetId="3" r:id="R00b442122dfe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;[Red](#,##0);-"/>
    <x:numFmt numFmtId="202" formatCode="0.0%"/>
    <x:numFmt numFmtId="203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047"/>
      </x:patternFill>
    </x:fill>
    <x:fill>
      <x:patternFill patternType="solid">
        <x:fgColor rgb="FFE6EAF1"/>
      </x:patternFill>
    </x:fill>
    <x:fill>
      <x:patternFill patternType="solid">
        <x:fgColor rgb="FFFFF1B8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c0fa06cd242c6" /><Relationship Type="http://schemas.openxmlformats.org/officeDocument/2006/relationships/theme" Target="/xl/theme/theme1.xml" Id="R6cfbf42df33246f6" /><Relationship Type="http://schemas.openxmlformats.org/officeDocument/2006/relationships/sharedStrings" Target="/xl/sharedStrings.xml" Id="Rc427c3ebe7ef48db" /><Relationship Type="http://schemas.openxmlformats.org/officeDocument/2006/relationships/worksheet" Target="/xl/worksheets/sheet1.xml" Id="R5266230dbed44027" /><Relationship Type="http://schemas.openxmlformats.org/officeDocument/2006/relationships/worksheet" Target="/xl/worksheets/sheet2.xml" Id="Rafa87116ab634243" /><Relationship Type="http://schemas.openxmlformats.org/officeDocument/2006/relationships/worksheet" Target="/xl/worksheets/sheet3.xml" Id="R00b442122dfe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2" hidden="0" customWidth="1"/>
  </x:cols>
  <x:sheetData>
    <x:row r="1" ht="30" customHeight="1">
      <x:c r="A1" s="3" t="str">
        <x:v>HEALTHCARE COMMERCIAL STRATEGY | SYNTHETIC CASE</x:v>
      </x:c>
      <x:c r="B1" s="3"/>
      <x:c r="C1" s="3"/>
      <x:c r="D1" s="3"/>
    </x:row>
    <x:row r="4">
      <x:c r="A4" t="str">
        <x:v>Total revenue (INR)</x:v>
      </x:c>
      <x:c r="B4" s="26" t="n">
        <x:f>SUM(Segments!D5:D28)</x:f>
        <x:v>209922623</x:v>
      </x:c>
    </x:row>
    <x:row r="5">
      <x:c r="A5" t="str">
        <x:v>Gross profit (INR)</x:v>
      </x:c>
      <x:c r="B5" s="26" t="n">
        <x:f>SUM(Segments!E5:E28)</x:f>
        <x:v>117893333</x:v>
      </x:c>
    </x:row>
    <x:row r="6">
      <x:c r="A6" t="str">
        <x:v>Gross margin</x:v>
      </x:c>
      <x:c r="B6" s="28" t="n">
        <x:f>B5/B4</x:f>
        <x:v>0.5616037533982223</x:v>
      </x:c>
    </x:row>
    <x:row r="7">
      <x:c r="A7" t="str">
        <x:v>Contribution after promotion (INR)</x:v>
      </x:c>
      <x:c r="B7" s="26" t="n">
        <x:f>SUM(Segments!F5:F28)</x:f>
        <x:v>99734191</x:v>
      </x:c>
    </x:row>
    <x:row r="8">
      <x:c r="A8" t="str">
        <x:v>Simulated therapy episodes</x:v>
      </x:c>
      <x:c r="B8" s="26" t="n">
        <x:f>SUM(Segments!P5:P28)</x:f>
        <x:v>8000</x:v>
      </x:c>
    </x:row>
    <x:row r="9">
      <x:c r="A9" t="str">
        <x:v>Day-120 discontinued share</x:v>
      </x:c>
      <x:c r="B9" s="28" t="n">
        <x:f>SUMPRODUCT(Segments!I5:I28,Segments!P5:P28)/B8</x:f>
        <x:v>0.23975</x:v>
      </x:c>
    </x:row>
    <x:row r="10">
      <x:c r="A10" t="str">
        <x:v>Priority-score weight check</x:v>
      </x:c>
      <x:c r="B10" s="28" t="n">
        <x:f>Weights!B8</x:f>
        <x:v>1</x:v>
      </x:c>
    </x:row>
    <x:row r="12">
      <x:c r="A12" s="30" t="str">
        <x:v>Every result is simulated; this is not clinical evidence.</x:v>
      </x:c>
      <x:c r="B12" s="30"/>
      <x:c r="C12" s="30"/>
      <x:c r="D12" s="30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9" customHeight="1">
      <x:c r="A1" s="3" t="str">
        <x:v>24 SYNTHETIC REGION–PRODUCT SEGMENTS | STRATEGY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4" ht="36" customHeight="1">
      <x:c r="A4" s="18" t="str">
        <x:v>Region</x:v>
      </x:c>
      <x:c r="B4" s="18" t="str">
        <x:v>Product</x:v>
      </x:c>
      <x:c r="C4" s="18" t="str">
        <x:v>Therapy</x:v>
      </x:c>
      <x:c r="D4" s="18" t="str">
        <x:v>Revenue (INR)</x:v>
      </x:c>
      <x:c r="E4" s="18" t="str">
        <x:v>Gross profit (INR)</x:v>
      </x:c>
      <x:c r="F4" s="18" t="str">
        <x:v>Contribution (INR)</x:v>
      </x:c>
      <x:c r="G4" s="18" t="str">
        <x:v>Gross margin</x:v>
      </x:c>
      <x:c r="H4" s="18" t="str">
        <x:v>Under-engaged potential RX/month</x:v>
      </x:c>
      <x:c r="I4" s="18" t="str">
        <x:v>Simulated discontinuation</x:v>
      </x:c>
      <x:c r="J4" s="18" t="str">
        <x:v>Revenue percentile</x:v>
      </x:c>
      <x:c r="K4" s="18" t="str">
        <x:v>Margin percentile</x:v>
      </x:c>
      <x:c r="L4" s="18" t="str">
        <x:v>Potential percentile</x:v>
      </x:c>
      <x:c r="M4" s="18" t="str">
        <x:v>Discontinuation percentile</x:v>
      </x:c>
      <x:c r="N4" s="18" t="str">
        <x:v>Priority score / 100</x:v>
      </x:c>
      <x:c r="O4" s="18" t="str">
        <x:v>Rank</x:v>
      </x:c>
      <x:c r="P4" s="18" t="str">
        <x:v>Simulated episodes</x:v>
      </x:c>
    </x:row>
    <x:row r="5">
      <x:c r="A5" t="str">
        <x:v>North</x:v>
      </x:c>
      <x:c r="B5" t="str">
        <x:v>META-B</x:v>
      </x:c>
      <x:c r="C5" t="str">
        <x:v>Metabolic</x:v>
      </x:c>
      <x:c r="D5" s="20" t="n">
        <x:v>10921623</x:v>
      </x:c>
      <x:c r="E5" s="20" t="n">
        <x:v>6341523</x:v>
      </x:c>
      <x:c r="F5" s="20" t="n">
        <x:v>5371500</x:v>
      </x:c>
      <x:c r="G5" s="22" t="n">
        <x:v>0.5806392511442667</x:v>
      </x:c>
      <x:c r="H5" t="n">
        <x:v>374</x:v>
      </x:c>
      <x:c r="I5" s="22" t="n">
        <x:v>0.247557003257329</x:v>
      </x:c>
      <x:c r="J5" s="22" t="n">
        <x:v>1</x:v>
      </x:c>
      <x:c r="K5" s="22" t="n">
        <x:v>0.9166666666666666</x:v>
      </x:c>
      <x:c r="L5" s="22" t="n">
        <x:v>0.3125</x:v>
      </x:c>
      <x:c r="M5" s="22" t="n">
        <x:v>0.5833333333333334</x:v>
      </x:c>
      <x:c r="N5" s="24" t="n">
        <x:f>100*(J5*Weights!$B$4+K5*Weights!$B$5+L5*Weights!$B$6+M5*Weights!$B$7)</x:f>
        <x:v>75.41666666666667</x:v>
      </x:c>
      <x:c r="O5" t="n">
        <x:f>RANK(N5,$N$5:$N$28,0)</x:f>
        <x:v>1</x:v>
      </x:c>
      <x:c r="P5" t="n">
        <x:v>307</x:v>
      </x:c>
    </x:row>
    <x:row r="6">
      <x:c r="A6" t="str">
        <x:v>South</x:v>
      </x:c>
      <x:c r="B6" t="str">
        <x:v>CARD-B</x:v>
      </x:c>
      <x:c r="C6" t="str">
        <x:v>Cardiology</x:v>
      </x:c>
      <x:c r="D6" s="20" t="n">
        <x:v>9661506</x:v>
      </x:c>
      <x:c r="E6" s="20" t="n">
        <x:v>5608026</x:v>
      </x:c>
      <x:c r="F6" s="20" t="n">
        <x:v>4732140</x:v>
      </x:c>
      <x:c r="G6" s="22" t="n">
        <x:v>0.5804505011951553</x:v>
      </x:c>
      <x:c r="H6" t="n">
        <x:v>786</x:v>
      </x:c>
      <x:c r="I6" s="22" t="n">
        <x:v>0.2017291066282421</x:v>
      </x:c>
      <x:c r="J6" s="22" t="n">
        <x:v>0.7916666666666666</x:v>
      </x:c>
      <x:c r="K6" s="22" t="n">
        <x:v>0.875</x:v>
      </x:c>
      <x:c r="L6" s="22" t="n">
        <x:v>0.9791666666666666</x:v>
      </x:c>
      <x:c r="M6" s="22" t="n">
        <x:v>0.125</x:v>
      </x:c>
      <x:c r="N6" s="24" t="n">
        <x:f>100*(J6*Weights!$B$4+K6*Weights!$B$5+L6*Weights!$B$6+M6*Weights!$B$7)</x:f>
        <x:v>72.08333333333333</x:v>
      </x:c>
      <x:c r="O6" t="n">
        <x:f>RANK(N6,$N$5:$N$28,0)</x:f>
        <x:v>2</x:v>
      </x:c>
      <x:c r="P6" t="n">
        <x:v>347</x:v>
      </x:c>
    </x:row>
    <x:row r="7">
      <x:c r="A7" t="str">
        <x:v>West</x:v>
      </x:c>
      <x:c r="B7" t="str">
        <x:v>META-B</x:v>
      </x:c>
      <x:c r="C7" t="str">
        <x:v>Metabolic</x:v>
      </x:c>
      <x:c r="D7" s="20" t="n">
        <x:v>9538157</x:v>
      </x:c>
      <x:c r="E7" s="20" t="n">
        <x:v>5489057</x:v>
      </x:c>
      <x:c r="F7" s="20" t="n">
        <x:v>4644181</x:v>
      </x:c>
      <x:c r="G7" s="22" t="n">
        <x:v>0.5754840269456668</x:v>
      </x:c>
      <x:c r="H7" t="n">
        <x:v>338</x:v>
      </x:c>
      <x:c r="I7" s="22" t="n">
        <x:v>0.2984126984126984</x:v>
      </x:c>
      <x:c r="J7" s="22" t="n">
        <x:v>0.75</x:v>
      </x:c>
      <x:c r="K7" s="22" t="n">
        <x:v>0.75</x:v>
      </x:c>
      <x:c r="L7" s="22" t="n">
        <x:v>0.2291666666666666</x:v>
      </x:c>
      <x:c r="M7" s="22" t="n">
        <x:v>0.9166666666666666</x:v>
      </x:c>
      <x:c r="N7" s="24" t="n">
        <x:f>100*(J7*Weights!$B$4+K7*Weights!$B$5+L7*Weights!$B$6+M7*Weights!$B$7)</x:f>
        <x:v>67.91666666666667</x:v>
      </x:c>
      <x:c r="O7" t="n">
        <x:f>RANK(N7,$N$5:$N$28,0)</x:f>
        <x:v>3</x:v>
      </x:c>
      <x:c r="P7" t="n">
        <x:v>315</x:v>
      </x:c>
    </x:row>
    <x:row r="8">
      <x:c r="A8" t="str">
        <x:v>South</x:v>
      </x:c>
      <x:c r="B8" t="str">
        <x:v>META-B</x:v>
      </x:c>
      <x:c r="C8" t="str">
        <x:v>Metabolic</x:v>
      </x:c>
      <x:c r="D8" s="20" t="n">
        <x:v>10281936</x:v>
      </x:c>
      <x:c r="E8" s="20" t="n">
        <x:v>5990286</x:v>
      </x:c>
      <x:c r="F8" s="20" t="n">
        <x:v>5094580</x:v>
      </x:c>
      <x:c r="G8" s="22" t="n">
        <x:v>0.582602926141536</x:v>
      </x:c>
      <x:c r="H8" t="n">
        <x:v>224</x:v>
      </x:c>
      <x:c r="I8" s="22" t="n">
        <x:v>0.2072072072072072</x:v>
      </x:c>
      <x:c r="J8" s="22" t="n">
        <x:v>0.9583333333333334</x:v>
      </x:c>
      <x:c r="K8" s="22" t="n">
        <x:v>0.9583333333333334</x:v>
      </x:c>
      <x:c r="L8" s="22" t="n">
        <x:v>0.1458333333333333</x:v>
      </x:c>
      <x:c r="M8" s="22" t="n">
        <x:v>0.2083333333333333</x:v>
      </x:c>
      <x:c r="N8" s="24" t="n">
        <x:f>100*(J8*Weights!$B$4+K8*Weights!$B$5+L8*Weights!$B$6+M8*Weights!$B$7)</x:f>
        <x:v>64.58333333333333</x:v>
      </x:c>
      <x:c r="O8" t="n">
        <x:f>RANK(N8,$N$5:$N$28,0)</x:f>
        <x:v>4</x:v>
      </x:c>
      <x:c r="P8" t="n">
        <x:v>333</x:v>
      </x:c>
    </x:row>
    <x:row r="9">
      <x:c r="A9" t="str">
        <x:v>East</x:v>
      </x:c>
      <x:c r="B9" t="str">
        <x:v>CARD-B</x:v>
      </x:c>
      <x:c r="C9" t="str">
        <x:v>Cardiology</x:v>
      </x:c>
      <x:c r="D9" s="20" t="n">
        <x:v>7433199</x:v>
      </x:c>
      <x:c r="E9" s="20" t="n">
        <x:v>4307409</x:v>
      </x:c>
      <x:c r="F9" s="20" t="n">
        <x:v>3705993</x:v>
      </x:c>
      <x:c r="G9" s="22" t="n">
        <x:v>0.5794825350431221</x:v>
      </x:c>
      <x:c r="H9" t="n">
        <x:v>699</x:v>
      </x:c>
      <x:c r="I9" s="22" t="n">
        <x:v>0.2756410256410256</x:v>
      </x:c>
      <x:c r="J9" s="22" t="n">
        <x:v>0.125</x:v>
      </x:c>
      <x:c r="K9" s="22" t="n">
        <x:v>0.8333333333333334</x:v>
      </x:c>
      <x:c r="L9" s="22" t="n">
        <x:v>0.8958333333333334</x:v>
      </x:c>
      <x:c r="M9" s="22" t="n">
        <x:v>0.8333333333333334</x:v>
      </x:c>
      <x:c r="N9" s="24" t="n">
        <x:f>100*(J9*Weights!$B$4+K9*Weights!$B$5+L9*Weights!$B$6+M9*Weights!$B$7)</x:f>
        <x:v>63.33333333333333</x:v>
      </x:c>
      <x:c r="O9" t="n">
        <x:f>RANK(N9,$N$5:$N$28,0)</x:f>
        <x:v>5</x:v>
      </x:c>
      <x:c r="P9" t="n">
        <x:v>312</x:v>
      </x:c>
    </x:row>
    <x:row r="10">
      <x:c r="A10" t="str">
        <x:v>North</x:v>
      </x:c>
      <x:c r="B10" t="str">
        <x:v>CARD-B</x:v>
      </x:c>
      <x:c r="C10" t="str">
        <x:v>Cardiology</x:v>
      </x:c>
      <x:c r="D10" s="20" t="n">
        <x:v>9715259</x:v>
      </x:c>
      <x:c r="E10" s="20" t="n">
        <x:v>5597519</x:v>
      </x:c>
      <x:c r="F10" s="20" t="n">
        <x:v>4750058</x:v>
      </x:c>
      <x:c r="G10" s="22" t="n">
        <x:v>0.5761574652821917</x:v>
      </x:c>
      <x:c r="H10" t="n">
        <x:v>423</x:v>
      </x:c>
      <x:c r="I10" s="22" t="n">
        <x:v>0.1946107784431137</x:v>
      </x:c>
      <x:c r="J10" s="22" t="n">
        <x:v>0.8333333333333334</x:v>
      </x:c>
      <x:c r="K10" s="22" t="n">
        <x:v>0.7916666666666666</x:v>
      </x:c>
      <x:c r="L10" s="22" t="n">
        <x:v>0.4791666666666667</x:v>
      </x:c>
      <x:c r="M10" s="22" t="n">
        <x:v>0.0833333333333333</x:v>
      </x:c>
      <x:c r="N10" s="24" t="n">
        <x:f>100*(J10*Weights!$B$4+K10*Weights!$B$5+L10*Weights!$B$6+M10*Weights!$B$7)</x:f>
        <x:v>60</x:v>
      </x:c>
      <x:c r="O10" t="n">
        <x:f>RANK(N10,$N$5:$N$28,0)</x:f>
        <x:v>6</x:v>
      </x:c>
      <x:c r="P10" t="n">
        <x:v>334</x:v>
      </x:c>
    </x:row>
    <x:row r="11">
      <x:c r="A11" t="str">
        <x:v>North</x:v>
      </x:c>
      <x:c r="B11" t="str">
        <x:v>CARD-A</x:v>
      </x:c>
      <x:c r="C11" t="str">
        <x:v>Cardiology</x:v>
      </x:c>
      <x:c r="D11" s="20" t="n">
        <x:v>10121807</x:v>
      </x:c>
      <x:c r="E11" s="20" t="n">
        <x:v>5667977</x:v>
      </x:c>
      <x:c r="F11" s="20" t="n">
        <x:v>4803857</x:v>
      </x:c>
      <x:c r="G11" s="22" t="n">
        <x:v>0.559976790705454</x:v>
      </x:c>
      <x:c r="H11" t="n">
        <x:v>423</x:v>
      </x:c>
      <x:c r="I11" s="22" t="n">
        <x:v>0.2264705882352941</x:v>
      </x:c>
      <x:c r="J11" s="22" t="n">
        <x:v>0.9166666666666666</x:v>
      </x:c>
      <x:c r="K11" s="22" t="n">
        <x:v>0.4166666666666667</x:v>
      </x:c>
      <x:c r="L11" s="22" t="n">
        <x:v>0.4791666666666667</x:v>
      </x:c>
      <x:c r="M11" s="22" t="n">
        <x:v>0.5</x:v>
      </x:c>
      <x:c r="N11" s="24" t="n">
        <x:f>100*(J11*Weights!$B$4+K11*Weights!$B$5+L11*Weights!$B$6+M11*Weights!$B$7)</x:f>
        <x:v>59.583333333333336</x:v>
      </x:c>
      <x:c r="O11" t="n">
        <x:f>RANK(N11,$N$5:$N$28,0)</x:f>
        <x:v>7</x:v>
      </x:c>
      <x:c r="P11" t="n">
        <x:v>340</x:v>
      </x:c>
    </x:row>
    <x:row r="12">
      <x:c r="A12" t="str">
        <x:v>North</x:v>
      </x:c>
      <x:c r="B12" t="str">
        <x:v>META-A</x:v>
      </x:c>
      <x:c r="C12" t="str">
        <x:v>Metabolic</x:v>
      </x:c>
      <x:c r="D12" s="20" t="n">
        <x:v>9039870</x:v>
      </x:c>
      <x:c r="E12" s="20" t="n">
        <x:v>5083650</x:v>
      </x:c>
      <x:c r="F12" s="20" t="n">
        <x:v>4276991</x:v>
      </x:c>
      <x:c r="G12" s="22" t="n">
        <x:v>0.5623587507342472</x:v>
      </x:c>
      <x:c r="H12" t="n">
        <x:v>374</x:v>
      </x:c>
      <x:c r="I12" s="22" t="n">
        <x:v>0.2698863636363636</x:v>
      </x:c>
      <x:c r="J12" s="22" t="n">
        <x:v>0.6666666666666666</x:v>
      </x:c>
      <x:c r="K12" s="22" t="n">
        <x:v>0.5416666666666666</x:v>
      </x:c>
      <x:c r="L12" s="22" t="n">
        <x:v>0.3125</x:v>
      </x:c>
      <x:c r="M12" s="22" t="n">
        <x:v>0.75</x:v>
      </x:c>
      <x:c r="N12" s="24" t="n">
        <x:f>100*(J12*Weights!$B$4+K12*Weights!$B$5+L12*Weights!$B$6+M12*Weights!$B$7)</x:f>
        <x:v>57.49999999999999</x:v>
      </x:c>
      <x:c r="O12" t="n">
        <x:f>RANK(N12,$N$5:$N$28,0)</x:f>
        <x:v>8</x:v>
      </x:c>
      <x:c r="P12" t="n">
        <x:v>352</x:v>
      </x:c>
    </x:row>
    <x:row r="13">
      <x:c r="A13" t="str">
        <x:v>East</x:v>
      </x:c>
      <x:c r="B13" t="str">
        <x:v>META-B</x:v>
      </x:c>
      <x:c r="C13" t="str">
        <x:v>Metabolic</x:v>
      </x:c>
      <x:c r="D13" s="20" t="n">
        <x:v>7598308</x:v>
      </x:c>
      <x:c r="E13" s="20" t="n">
        <x:v>4434358</x:v>
      </x:c>
      <x:c r="F13" s="20" t="n">
        <x:v>3777372</x:v>
      </x:c>
      <x:c r="G13" s="22" t="n">
        <x:v>0.5835980852579284</x:v>
      </x:c>
      <x:c r="H13" t="n">
        <x:v>63</x:v>
      </x:c>
      <x:c r="I13" s="22" t="n">
        <x:v>0.3054755043227665</x:v>
      </x:c>
      <x:c r="J13" s="22" t="n">
        <x:v>0.1666666666666666</x:v>
      </x:c>
      <x:c r="K13" s="22" t="n">
        <x:v>1</x:v>
      </x:c>
      <x:c r="L13" s="22" t="n">
        <x:v>0.0625</x:v>
      </x:c>
      <x:c r="M13" s="22" t="n">
        <x:v>0.9583333333333334</x:v>
      </x:c>
      <x:c r="N13" s="24" t="n">
        <x:f>100*(J13*Weights!$B$4+K13*Weights!$B$5+L13*Weights!$B$6+M13*Weights!$B$7)</x:f>
        <x:v>55.41666666666667</x:v>
      </x:c>
      <x:c r="O13" t="n">
        <x:f>RANK(N13,$N$5:$N$28,0)</x:f>
        <x:v>9</x:v>
      </x:c>
      <x:c r="P13" t="n">
        <x:v>347</x:v>
      </x:c>
    </x:row>
    <x:row r="14">
      <x:c r="A14" t="str">
        <x:v>South</x:v>
      </x:c>
      <x:c r="B14" t="str">
        <x:v>RESP-A</x:v>
      </x:c>
      <x:c r="C14" t="str">
        <x:v>Respiratory</x:v>
      </x:c>
      <x:c r="D14" s="20" t="n">
        <x:v>9948624</x:v>
      </x:c>
      <x:c r="E14" s="20" t="n">
        <x:v>5300994</x:v>
      </x:c>
      <x:c r="F14" s="20" t="n">
        <x:v>4534613</x:v>
      </x:c>
      <x:c r="G14" s="22" t="n">
        <x:v>0.5328369028721962</x:v>
      </x:c>
      <x:c r="H14" t="n">
        <x:v>645</x:v>
      </x:c>
      <x:c r="I14" s="22" t="n">
        <x:v>0.2184615384615384</x:v>
      </x:c>
      <x:c r="J14" s="22" t="n">
        <x:v>0.875</x:v>
      </x:c>
      <x:c r="K14" s="22" t="n">
        <x:v>0.1666666666666666</x:v>
      </x:c>
      <x:c r="L14" s="22" t="n">
        <x:v>0.8125</x:v>
      </x:c>
      <x:c r="M14" s="22" t="n">
        <x:v>0.375</x:v>
      </x:c>
      <x:c r="N14" s="24" t="n">
        <x:f>100*(J14*Weights!$B$4+K14*Weights!$B$5+L14*Weights!$B$6+M14*Weights!$B$7)</x:f>
        <x:v>55.00000000000001</x:v>
      </x:c>
      <x:c r="O14" t="n">
        <x:f>RANK(N14,$N$5:$N$28,0)</x:f>
        <x:v>10</x:v>
      </x:c>
      <x:c r="P14" t="n">
        <x:v>325</x:v>
      </x:c>
    </x:row>
    <x:row r="15">
      <x:c r="A15" t="str">
        <x:v>North</x:v>
      </x:c>
      <x:c r="B15" t="str">
        <x:v>RESP-B</x:v>
      </x:c>
      <x:c r="C15" t="str">
        <x:v>Respiratory</x:v>
      </x:c>
      <x:c r="D15" s="20" t="n">
        <x:v>8801903</x:v>
      </x:c>
      <x:c r="E15" s="20" t="n">
        <x:v>4936403</x:v>
      </x:c>
      <x:c r="F15" s="20" t="n">
        <x:v>4151777</x:v>
      </x:c>
      <x:c r="G15" s="22" t="n">
        <x:v>0.560833606096318</x:v>
      </x:c>
      <x:c r="H15" t="n">
        <x:v>445</x:v>
      </x:c>
      <x:c r="I15" s="22" t="n">
        <x:v>0.2541806020066889</x:v>
      </x:c>
      <x:c r="J15" s="22" t="n">
        <x:v>0.5</x:v>
      </x:c>
      <x:c r="K15" s="22" t="n">
        <x:v>0.5</x:v>
      </x:c>
      <x:c r="L15" s="22" t="n">
        <x:v>0.5625</x:v>
      </x:c>
      <x:c r="M15" s="22" t="n">
        <x:v>0.625</x:v>
      </x:c>
      <x:c r="N15" s="24" t="n">
        <x:f>100*(J15*Weights!$B$4+K15*Weights!$B$5+L15*Weights!$B$6+M15*Weights!$B$7)</x:f>
        <x:v>53.75</x:v>
      </x:c>
      <x:c r="O15" t="n">
        <x:f>RANK(N15,$N$5:$N$28,0)</x:f>
        <x:v>11</x:v>
      </x:c>
      <x:c r="P15" t="n">
        <x:v>299</x:v>
      </x:c>
    </x:row>
    <x:row r="16">
      <x:c r="A16" t="str">
        <x:v>South</x:v>
      </x:c>
      <x:c r="B16" t="str">
        <x:v>META-A</x:v>
      </x:c>
      <x:c r="C16" t="str">
        <x:v>Metabolic</x:v>
      </x:c>
      <x:c r="D16" s="20" t="n">
        <x:v>8548197</x:v>
      </x:c>
      <x:c r="E16" s="20" t="n">
        <x:v>4859507</x:v>
      </x:c>
      <x:c r="F16" s="20" t="n">
        <x:v>4120742</x:v>
      </x:c>
      <x:c r="G16" s="22" t="n">
        <x:v>0.5684832719695159</x:v>
      </x:c>
      <x:c r="H16" t="n">
        <x:v>224</x:v>
      </x:c>
      <x:c r="I16" s="22" t="n">
        <x:v>0.2790697674418604</x:v>
      </x:c>
      <x:c r="J16" s="22" t="n">
        <x:v>0.375</x:v>
      </x:c>
      <x:c r="K16" s="22" t="n">
        <x:v>0.6666666666666666</x:v>
      </x:c>
      <x:c r="L16" s="22" t="n">
        <x:v>0.1458333333333333</x:v>
      </x:c>
      <x:c r="M16" s="22" t="n">
        <x:v>0.875</x:v>
      </x:c>
      <x:c r="N16" s="24" t="n">
        <x:f>100*(J16*Weights!$B$4+K16*Weights!$B$5+L16*Weights!$B$6+M16*Weights!$B$7)</x:f>
        <x:v>51.66666666666667</x:v>
      </x:c>
      <x:c r="O16" t="n">
        <x:f>RANK(N16,$N$5:$N$28,0)</x:f>
        <x:v>12</x:v>
      </x:c>
      <x:c r="P16" t="n">
        <x:v>344</x:v>
      </x:c>
    </x:row>
    <x:row r="17">
      <x:c r="A17" t="str">
        <x:v>South</x:v>
      </x:c>
      <x:c r="B17" t="str">
        <x:v>RESP-B</x:v>
      </x:c>
      <x:c r="C17" t="str">
        <x:v>Respiratory</x:v>
      </x:c>
      <x:c r="D17" s="20" t="n">
        <x:v>8783869</x:v>
      </x:c>
      <x:c r="E17" s="20" t="n">
        <x:v>4983169</x:v>
      </x:c>
      <x:c r="F17" s="20" t="n">
        <x:v>4202602</x:v>
      </x:c>
      <x:c r="G17" s="22" t="n">
        <x:v>0.5673091208441292</x:v>
      </x:c>
      <x:c r="H17" t="n">
        <x:v>645</x:v>
      </x:c>
      <x:c r="I17" s="22" t="n">
        <x:v>0.2049861495844875</x:v>
      </x:c>
      <x:c r="J17" s="22" t="n">
        <x:v>0.4583333333333333</x:v>
      </x:c>
      <x:c r="K17" s="22" t="n">
        <x:v>0.5833333333333334</x:v>
      </x:c>
      <x:c r="L17" s="22" t="n">
        <x:v>0.8125</x:v>
      </x:c>
      <x:c r="M17" s="22" t="n">
        <x:v>0.1666666666666666</x:v>
      </x:c>
      <x:c r="N17" s="24" t="n">
        <x:f>100*(J17*Weights!$B$4+K17*Weights!$B$5+L17*Weights!$B$6+M17*Weights!$B$7)</x:f>
        <x:v>50.83333333333333</x:v>
      </x:c>
      <x:c r="O17" t="n">
        <x:f>RANK(N17,$N$5:$N$28,0)</x:f>
        <x:v>13</x:v>
      </x:c>
      <x:c r="P17" t="n">
        <x:v>361</x:v>
      </x:c>
    </x:row>
    <x:row r="18">
      <x:c r="A18" t="str">
        <x:v>West</x:v>
      </x:c>
      <x:c r="B18" t="str">
        <x:v>CARD-B</x:v>
      </x:c>
      <x:c r="C18" t="str">
        <x:v>Cardiology</x:v>
      </x:c>
      <x:c r="D18" s="20" t="n">
        <x:v>8599144</x:v>
      </x:c>
      <x:c r="E18" s="20" t="n">
        <x:v>4924594</x:v>
      </x:c>
      <x:c r="F18" s="20" t="n">
        <x:v>4181981</x:v>
      </x:c>
      <x:c r="G18" s="22" t="n">
        <x:v>0.572684211358712</x:v>
      </x:c>
      <x:c r="H18" t="n">
        <x:v>399</x:v>
      </x:c>
      <x:c r="I18" s="22" t="n">
        <x:v>0.2147435897435897</x:v>
      </x:c>
      <x:c r="J18" s="22" t="n">
        <x:v>0.4166666666666667</x:v>
      </x:c>
      <x:c r="K18" s="22" t="n">
        <x:v>0.7083333333333334</x:v>
      </x:c>
      <x:c r="L18" s="22" t="n">
        <x:v>0.3958333333333333</x:v>
      </x:c>
      <x:c r="M18" s="22" t="n">
        <x:v>0.2916666666666667</x:v>
      </x:c>
      <x:c r="N18" s="24" t="n">
        <x:f>100*(J18*Weights!$B$4+K18*Weights!$B$5+L18*Weights!$B$6+M18*Weights!$B$7)</x:f>
        <x:v>47.5</x:v>
      </x:c>
      <x:c r="O18" t="n">
        <x:f>RANK(N18,$N$5:$N$28,0)</x:f>
        <x:v>14</x:v>
      </x:c>
      <x:c r="P18" t="n">
        <x:v>312</x:v>
      </x:c>
    </x:row>
    <x:row r="19">
      <x:c r="A19" t="str">
        <x:v>West</x:v>
      </x:c>
      <x:c r="B19" t="str">
        <x:v>RESP-B</x:v>
      </x:c>
      <x:c r="C19" t="str">
        <x:v>Respiratory</x:v>
      </x:c>
      <x:c r="D19" s="20" t="n">
        <x:v>8157958</x:v>
      </x:c>
      <x:c r="E19" s="20" t="n">
        <x:v>4575058</x:v>
      </x:c>
      <x:c r="F19" s="20" t="n">
        <x:v>3812179</x:v>
      </x:c>
      <x:c r="G19" s="22" t="n">
        <x:v>0.5608092123053342</x:v>
      </x:c>
      <x:c r="H19" t="n">
        <x:v>609</x:v>
      </x:c>
      <x:c r="I19" s="22" t="n">
        <x:v>0.2215743440233236</x:v>
      </x:c>
      <x:c r="J19" s="22" t="n">
        <x:v>0.3333333333333333</x:v>
      </x:c>
      <x:c r="K19" s="22" t="n">
        <x:v>0.4583333333333333</x:v>
      </x:c>
      <x:c r="L19" s="22" t="n">
        <x:v>0.7291666666666666</x:v>
      </x:c>
      <x:c r="M19" s="22" t="n">
        <x:v>0.4166666666666667</x:v>
      </x:c>
      <x:c r="N19" s="24" t="n">
        <x:f>100*(J19*Weights!$B$4+K19*Weights!$B$5+L19*Weights!$B$6+M19*Weights!$B$7)</x:f>
        <x:v>46.666666666666664</x:v>
      </x:c>
      <x:c r="O19" t="n">
        <x:f>RANK(N19,$N$5:$N$28,0)</x:f>
        <x:v>15</x:v>
      </x:c>
      <x:c r="P19" t="n">
        <x:v>343</x:v>
      </x:c>
    </x:row>
    <x:row r="20">
      <x:c r="A20" t="str">
        <x:v>East</x:v>
      </x:c>
      <x:c r="B20" t="str">
        <x:v>CARD-A</x:v>
      </x:c>
      <x:c r="C20" t="str">
        <x:v>Cardiology</x:v>
      </x:c>
      <x:c r="D20" s="20" t="n">
        <x:v>7955220</x:v>
      </x:c>
      <x:c r="E20" s="20" t="n">
        <x:v>4425940</x:v>
      </x:c>
      <x:c r="F20" s="20" t="n">
        <x:v>3755934</x:v>
      </x:c>
      <x:c r="G20" s="22" t="n">
        <x:v>0.5563567066655605</x:v>
      </x:c>
      <x:c r="H20" t="n">
        <x:v>699</x:v>
      </x:c>
      <x:c r="I20" s="22" t="n">
        <x:v>0.235820895522388</x:v>
      </x:c>
      <x:c r="J20" s="22" t="n">
        <x:v>0.2916666666666667</x:v>
      </x:c>
      <x:c r="K20" s="22" t="n">
        <x:v>0.2916666666666667</x:v>
      </x:c>
      <x:c r="L20" s="22" t="n">
        <x:v>0.8958333333333334</x:v>
      </x:c>
      <x:c r="M20" s="22" t="n">
        <x:v>0.5416666666666666</x:v>
      </x:c>
      <x:c r="N20" s="24" t="n">
        <x:f>100*(J20*Weights!$B$4+K20*Weights!$B$5+L20*Weights!$B$6+M20*Weights!$B$7)</x:f>
        <x:v>46.25000000000001</x:v>
      </x:c>
      <x:c r="O20" t="n">
        <x:f>RANK(N20,$N$5:$N$28,0)</x:f>
        <x:v>16</x:v>
      </x:c>
      <x:c r="P20" t="n">
        <x:v>335</x:v>
      </x:c>
    </x:row>
    <x:row r="21">
      <x:c r="A21" t="str">
        <x:v>South</x:v>
      </x:c>
      <x:c r="B21" t="str">
        <x:v>CARD-A</x:v>
      </x:c>
      <x:c r="C21" t="str">
        <x:v>Cardiology</x:v>
      </x:c>
      <x:c r="D21" s="20" t="n">
        <x:v>9021794</x:v>
      </x:c>
      <x:c r="E21" s="20" t="n">
        <x:v>4992314</x:v>
      </x:c>
      <x:c r="F21" s="20" t="n">
        <x:v>4257403</x:v>
      </x:c>
      <x:c r="G21" s="22" t="n">
        <x:v>0.5533615597962002</x:v>
      </x:c>
      <x:c r="H21" t="n">
        <x:v>786</x:v>
      </x:c>
      <x:c r="I21" s="22" t="n">
        <x:v>0.1473354231974921</x:v>
      </x:c>
      <x:c r="J21" s="22" t="n">
        <x:v>0.625</x:v>
      </x:c>
      <x:c r="K21" s="22" t="n">
        <x:v>0.2083333333333333</x:v>
      </x:c>
      <x:c r="L21" s="22" t="n">
        <x:v>0.9791666666666666</x:v>
      </x:c>
      <x:c r="M21" s="22" t="n">
        <x:v>0.0416666666666666</x:v>
      </x:c>
      <x:c r="N21" s="24" t="n">
        <x:f>100*(J21*Weights!$B$4+K21*Weights!$B$5+L21*Weights!$B$6+M21*Weights!$B$7)</x:f>
        <x:v>45.41666666666666</x:v>
      </x:c>
      <x:c r="O21" t="n">
        <x:f>RANK(N21,$N$5:$N$28,0)</x:f>
        <x:v>17</x:v>
      </x:c>
      <x:c r="P21" t="n">
        <x:v>319</x:v>
      </x:c>
    </x:row>
    <x:row r="22">
      <x:c r="A22" t="str">
        <x:v>West</x:v>
      </x:c>
      <x:c r="B22" t="str">
        <x:v>RESP-A</x:v>
      </x:c>
      <x:c r="C22" t="str">
        <x:v>Respiratory</x:v>
      </x:c>
      <x:c r="D22" s="20" t="n">
        <x:v>8815571</x:v>
      </x:c>
      <x:c r="E22" s="20" t="n">
        <x:v>4672211</x:v>
      </x:c>
      <x:c r="F22" s="20" t="n">
        <x:v>4019916</x:v>
      </x:c>
      <x:c r="G22" s="22" t="n">
        <x:v>0.5299952776740157</x:v>
      </x:c>
      <x:c r="H22" t="n">
        <x:v>609</x:v>
      </x:c>
      <x:c r="I22" s="22" t="n">
        <x:v>0.2261580381471389</x:v>
      </x:c>
      <x:c r="J22" s="22" t="n">
        <x:v>0.5416666666666666</x:v>
      </x:c>
      <x:c r="K22" s="22" t="n">
        <x:v>0.125</x:v>
      </x:c>
      <x:c r="L22" s="22" t="n">
        <x:v>0.7291666666666666</x:v>
      </x:c>
      <x:c r="M22" s="22" t="n">
        <x:v>0.4583333333333333</x:v>
      </x:c>
      <x:c r="N22" s="24" t="n">
        <x:f>100*(J22*Weights!$B$4+K22*Weights!$B$5+L22*Weights!$B$6+M22*Weights!$B$7)</x:f>
        <x:v>43.75</x:v>
      </x:c>
      <x:c r="O22" t="n">
        <x:f>RANK(N22,$N$5:$N$28,0)</x:f>
        <x:v>18</x:v>
      </x:c>
      <x:c r="P22" t="n">
        <x:v>367</x:v>
      </x:c>
    </x:row>
    <x:row r="23">
      <x:c r="A23" t="str">
        <x:v>East</x:v>
      </x:c>
      <x:c r="B23" t="str">
        <x:v>RESP-B</x:v>
      </x:c>
      <x:c r="C23" t="str">
        <x:v>Respiratory</x:v>
      </x:c>
      <x:c r="D23" s="20" t="n">
        <x:v>6658631</x:v>
      </x:c>
      <x:c r="E23" s="20" t="n">
        <x:v>3716081</x:v>
      </x:c>
      <x:c r="F23" s="20" t="n">
        <x:v>3120074</x:v>
      </x:c>
      <x:c r="G23" s="22" t="n">
        <x:v>0.5580848375589517</x:v>
      </x:c>
      <x:c r="H23" t="n">
        <x:v>539</x:v>
      </x:c>
      <x:c r="I23" s="22" t="n">
        <x:v>0.2727272727272727</x:v>
      </x:c>
      <x:c r="J23" s="22" t="n">
        <x:v>0.0833333333333333</x:v>
      </x:c>
      <x:c r="K23" s="22" t="n">
        <x:v>0.375</x:v>
      </x:c>
      <x:c r="L23" s="22" t="n">
        <x:v>0.6458333333333334</x:v>
      </x:c>
      <x:c r="M23" s="22" t="n">
        <x:v>0.7916666666666666</x:v>
      </x:c>
      <x:c r="N23" s="24" t="n">
        <x:f>100*(J23*Weights!$B$4+K23*Weights!$B$5+L23*Weights!$B$6+M23*Weights!$B$7)</x:f>
        <x:v>42.5</x:v>
      </x:c>
      <x:c r="O23" t="n">
        <x:f>RANK(N23,$N$5:$N$28,0)</x:f>
        <x:v>19</x:v>
      </x:c>
      <x:c r="P23" t="n">
        <x:v>352</x:v>
      </x:c>
    </x:row>
    <x:row r="24">
      <x:c r="A24" t="str">
        <x:v>East</x:v>
      </x:c>
      <x:c r="B24" t="str">
        <x:v>META-A</x:v>
      </x:c>
      <x:c r="C24" t="str">
        <x:v>Metabolic</x:v>
      </x:c>
      <x:c r="D24" s="20" t="n">
        <x:v>6496889</x:v>
      </x:c>
      <x:c r="E24" s="20" t="n">
        <x:v>3686429</x:v>
      </x:c>
      <x:c r="F24" s="20" t="n">
        <x:v>3112695</x:v>
      </x:c>
      <x:c r="G24" s="22" t="n">
        <x:v>0.5674144963843464</x:v>
      </x:c>
      <x:c r="H24" t="n">
        <x:v>63</x:v>
      </x:c>
      <x:c r="I24" s="22" t="n">
        <x:v>0.3106508875739645</x:v>
      </x:c>
      <x:c r="J24" s="22" t="n">
        <x:v>0.0416666666666666</x:v>
      </x:c>
      <x:c r="K24" s="22" t="n">
        <x:v>0.625</x:v>
      </x:c>
      <x:c r="L24" s="22" t="n">
        <x:v>0.0625</x:v>
      </x:c>
      <x:c r="M24" s="22" t="n">
        <x:v>1</x:v>
      </x:c>
      <x:c r="N24" s="24" t="n">
        <x:f>100*(J24*Weights!$B$4+K24*Weights!$B$5+L24*Weights!$B$6+M24*Weights!$B$7)</x:f>
        <x:v>41.25</x:v>
      </x:c>
      <x:c r="O24" t="n">
        <x:f>RANK(N24,$N$5:$N$28,0)</x:f>
        <x:v>20</x:v>
      </x:c>
      <x:c r="P24" t="n">
        <x:v>338</x:v>
      </x:c>
    </x:row>
    <x:row r="25">
      <x:c r="A25" t="str">
        <x:v>North</x:v>
      </x:c>
      <x:c r="B25" t="str">
        <x:v>RESP-A</x:v>
      </x:c>
      <x:c r="C25" t="str">
        <x:v>Respiratory</x:v>
      </x:c>
      <x:c r="D25" s="20" t="n">
        <x:v>9493548</x:v>
      </x:c>
      <x:c r="E25" s="20" t="n">
        <x:v>5001138</x:v>
      </x:c>
      <x:c r="F25" s="20" t="n">
        <x:v>4132882</x:v>
      </x:c>
      <x:c r="G25" s="22" t="n">
        <x:v>0.5267933548131847</x:v>
      </x:c>
      <x:c r="H25" t="n">
        <x:v>445</x:v>
      </x:c>
      <x:c r="I25" s="22" t="n">
        <x:v>0.2178217821782178</x:v>
      </x:c>
      <x:c r="J25" s="22" t="n">
        <x:v>0.7083333333333334</x:v>
      </x:c>
      <x:c r="K25" s="22" t="n">
        <x:v>0.0416666666666666</x:v>
      </x:c>
      <x:c r="L25" s="22" t="n">
        <x:v>0.5625</x:v>
      </x:c>
      <x:c r="M25" s="22" t="n">
        <x:v>0.3333333333333333</x:v>
      </x:c>
      <x:c r="N25" s="24" t="n">
        <x:f>100*(J25*Weights!$B$4+K25*Weights!$B$5+L25*Weights!$B$6+M25*Weights!$B$7)</x:f>
        <x:v>40.416666666666664</x:v>
      </x:c>
      <x:c r="O25" t="n">
        <x:f>RANK(N25,$N$5:$N$28,0)</x:f>
        <x:v>21</x:v>
      </x:c>
      <x:c r="P25" t="n">
        <x:v>303</x:v>
      </x:c>
    </x:row>
    <x:row r="26">
      <x:c r="A26" t="str">
        <x:v>West</x:v>
      </x:c>
      <x:c r="B26" t="str">
        <x:v>CARD-A</x:v>
      </x:c>
      <x:c r="C26" t="str">
        <x:v>Cardiology</x:v>
      </x:c>
      <x:c r="D26" s="20" t="n">
        <x:v>8944565</x:v>
      </x:c>
      <x:c r="E26" s="20" t="n">
        <x:v>4954855</x:v>
      </x:c>
      <x:c r="F26" s="20" t="n">
        <x:v>4244885</x:v>
      </x:c>
      <x:c r="G26" s="22" t="n">
        <x:v>0.553951477796852</x:v>
      </x:c>
      <x:c r="H26" t="n">
        <x:v>399</x:v>
      </x:c>
      <x:c r="I26" s="22" t="n">
        <x:v>0.2132963988919667</x:v>
      </x:c>
      <x:c r="J26" s="22" t="n">
        <x:v>0.5833333333333334</x:v>
      </x:c>
      <x:c r="K26" s="22" t="n">
        <x:v>0.25</x:v>
      </x:c>
      <x:c r="L26" s="22" t="n">
        <x:v>0.3958333333333333</x:v>
      </x:c>
      <x:c r="M26" s="22" t="n">
        <x:v>0.25</x:v>
      </x:c>
      <x:c r="N26" s="24" t="n">
        <x:f>100*(J26*Weights!$B$4+K26*Weights!$B$5+L26*Weights!$B$6+M26*Weights!$B$7)</x:f>
        <x:v>37.916666666666664</x:v>
      </x:c>
      <x:c r="O26" t="n">
        <x:f>RANK(N26,$N$5:$N$28,0)</x:f>
        <x:v>22</x:v>
      </x:c>
      <x:c r="P26" t="n">
        <x:v>361</x:v>
      </x:c>
    </x:row>
    <x:row r="27">
      <x:c r="A27" t="str">
        <x:v>West</x:v>
      </x:c>
      <x:c r="B27" t="str">
        <x:v>META-A</x:v>
      </x:c>
      <x:c r="C27" t="str">
        <x:v>Metabolic</x:v>
      </x:c>
      <x:c r="D27" s="20" t="n">
        <x:v>7708929</x:v>
      </x:c>
      <x:c r="E27" s="20" t="n">
        <x:v>4300789</x:v>
      </x:c>
      <x:c r="F27" s="20" t="n">
        <x:v>3613895</x:v>
      </x:c>
      <x:c r="G27" s="22" t="n">
        <x:v>0.5578970827205699</x:v>
      </x:c>
      <x:c r="H27" t="n">
        <x:v>338</x:v>
      </x:c>
      <x:c r="I27" s="22" t="n">
        <x:v>0.2564102564102564</x:v>
      </x:c>
      <x:c r="J27" s="22" t="n">
        <x:v>0.25</x:v>
      </x:c>
      <x:c r="K27" s="22" t="n">
        <x:v>0.3333333333333333</x:v>
      </x:c>
      <x:c r="L27" s="22" t="n">
        <x:v>0.2291666666666666</x:v>
      </x:c>
      <x:c r="M27" s="22" t="n">
        <x:v>0.7083333333333334</x:v>
      </x:c>
      <x:c r="N27" s="24" t="n">
        <x:f>100*(J27*Weights!$B$4+K27*Weights!$B$5+L27*Weights!$B$6+M27*Weights!$B$7)</x:f>
        <x:v>36.25000000000001</x:v>
      </x:c>
      <x:c r="O27" t="n">
        <x:f>RANK(N27,$N$5:$N$28,0)</x:f>
        <x:v>23</x:v>
      </x:c>
      <x:c r="P27" t="n">
        <x:v>312</x:v>
      </x:c>
    </x:row>
    <x:row r="28">
      <x:c r="A28" t="str">
        <x:v>East</x:v>
      </x:c>
      <x:c r="B28" t="str">
        <x:v>RESP-A</x:v>
      </x:c>
      <x:c r="C28" t="str">
        <x:v>Respiratory</x:v>
      </x:c>
      <x:c r="D28" s="20" t="n">
        <x:v>7676116</x:v>
      </x:c>
      <x:c r="E28" s="20" t="n">
        <x:v>4044046</x:v>
      </x:c>
      <x:c r="F28" s="20" t="n">
        <x:v>3315941</x:v>
      </x:c>
      <x:c r="G28" s="22" t="n">
        <x:v>0.5268349253711122</x:v>
      </x:c>
      <x:c r="H28" t="n">
        <x:v>539</x:v>
      </x:c>
      <x:c r="I28" s="22" t="n">
        <x:v>0.2543859649122807</x:v>
      </x:c>
      <x:c r="J28" s="22" t="n">
        <x:v>0.2083333333333333</x:v>
      </x:c>
      <x:c r="K28" s="22" t="n">
        <x:v>0.0833333333333333</x:v>
      </x:c>
      <x:c r="L28" s="22" t="n">
        <x:v>0.6458333333333334</x:v>
      </x:c>
      <x:c r="M28" s="22" t="n">
        <x:v>0.6666666666666666</x:v>
      </x:c>
      <x:c r="N28" s="24" t="n">
        <x:f>100*(J28*Weights!$B$4+K28*Weights!$B$5+L28*Weights!$B$6+M28*Weights!$B$7)</x:f>
        <x:v>35</x:v>
      </x:c>
      <x:c r="O28" t="n">
        <x:f>RANK(N28,$N$5:$N$28,0)</x:f>
        <x:v>24</x:v>
      </x:c>
      <x:c r="P28" t="n">
        <x:v>342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48" hidden="0" customWidth="1"/>
  </x:cols>
  <x:sheetData>
    <x:row r="1">
      <x:c r="A1" s="3" t="str">
        <x:v>ILLUSTRATIVE PRIORITY WEIGHTS</x:v>
      </x:c>
      <x:c r="B1" s="3"/>
      <x:c r="C1" s="3"/>
    </x:row>
    <x:row r="3">
      <x:c r="A3" s="7" t="str">
        <x:v>Dimension</x:v>
      </x:c>
      <x:c r="B3" s="7" t="str">
        <x:v>Weight</x:v>
      </x:c>
      <x:c r="C3" s="7" t="str">
        <x:v>Interpretation</x:v>
      </x:c>
    </x:row>
    <x:row r="4">
      <x:c r="A4" t="str">
        <x:v>Current revenue scale</x:v>
      </x:c>
      <x:c r="B4" s="14" t="n">
        <x:v>0.3</x:v>
      </x:c>
      <x:c r="C4" t="str">
        <x:v>Current sales, not total addressable market</x:v>
      </x:c>
    </x:row>
    <x:row r="5">
      <x:c r="A5" t="str">
        <x:v>Gross margin</x:v>
      </x:c>
      <x:c r="B5" s="14" t="n">
        <x:v>0.3</x:v>
      </x:c>
      <x:c r="C5" t="str">
        <x:v>Gross profitability</x:v>
      </x:c>
    </x:row>
    <x:row r="6">
      <x:c r="A6" t="str">
        <x:v>Under-engaged potential</x:v>
      </x:c>
      <x:c r="B6" s="14" t="n">
        <x:v>0.2</x:v>
      </x:c>
      <x:c r="C6" t="str">
        <x:v>Synthetic physician opportunity</x:v>
      </x:c>
    </x:row>
    <x:row r="7">
      <x:c r="A7" t="str">
        <x:v>Discontinuation signal</x:v>
      </x:c>
      <x:c r="B7" s="14" t="n">
        <x:v>0.2</x:v>
      </x:c>
      <x:c r="C7" t="str">
        <x:v>Medical/compliance review only</x:v>
      </x:c>
    </x:row>
    <x:row r="8">
      <x:c r="A8" t="str">
        <x:v>Weight check</x:v>
      </x:c>
      <x:c r="B8" s="15" t="n">
        <x:f>SUM(B4:B7)</x:f>
        <x:v>1</x:v>
      </x:c>
    </x:row>
  </x:sheetData>
  <x:mergeCells>
    <x:mergeCell ref="A1:C1"/>
  </x:mergeCells>
  <x:pageMargins left="0.7" right="0.7" top="0.75" bottom="0.75" header="0.3" footer="0.3"/>
</x:worksheet>
</file>